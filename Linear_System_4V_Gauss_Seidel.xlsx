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98570C12-58A7-4269-BFA6-C283C3C41EB1}" xr6:coauthVersionLast="47" xr6:coauthVersionMax="47" xr10:uidLastSave="{00000000-0000-0000-0000-000000000000}"/>
  <bookViews>
    <workbookView xWindow="-110" yWindow="-110" windowWidth="19420" windowHeight="10300" xr2:uid="{E1F8A179-AD96-4E63-90BA-EAF6075DC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F9" i="1" l="1"/>
  <c r="C9" i="1"/>
  <c r="G9" i="1" l="1"/>
  <c r="D9" i="1"/>
  <c r="H9" i="1" l="1"/>
  <c r="E9" i="1"/>
  <c r="I9" i="1" l="1"/>
  <c r="B10" i="1"/>
  <c r="J9" i="1"/>
  <c r="C10" i="1" l="1"/>
  <c r="D10" i="1"/>
  <c r="H10" i="1" s="1"/>
  <c r="E10" i="1"/>
  <c r="I10" i="1" s="1"/>
  <c r="F10" i="1"/>
  <c r="G10" i="1" l="1"/>
  <c r="J10" i="1" s="1"/>
  <c r="B11" i="1"/>
  <c r="C11" i="1" l="1"/>
  <c r="D11" i="1"/>
  <c r="H11" i="1" s="1"/>
  <c r="E11" i="1"/>
  <c r="I11" i="1" s="1"/>
  <c r="F11" i="1"/>
  <c r="G11" i="1" l="1"/>
  <c r="J11" i="1" s="1"/>
  <c r="B12" i="1"/>
  <c r="C12" i="1" l="1"/>
  <c r="D12" i="1"/>
  <c r="H12" i="1" s="1"/>
  <c r="E12" i="1"/>
  <c r="I12" i="1" s="1"/>
  <c r="F12" i="1"/>
  <c r="G12" i="1" l="1"/>
  <c r="J12" i="1" s="1"/>
  <c r="B13" i="1"/>
  <c r="C13" i="1" l="1"/>
  <c r="D13" i="1"/>
  <c r="H13" i="1" s="1"/>
  <c r="E13" i="1"/>
  <c r="I13" i="1" s="1"/>
  <c r="F13" i="1"/>
  <c r="G13" i="1" l="1"/>
  <c r="J13" i="1" s="1"/>
  <c r="B14" i="1"/>
  <c r="C14" i="1" l="1"/>
  <c r="D14" i="1"/>
  <c r="H14" i="1" s="1"/>
  <c r="E14" i="1"/>
  <c r="I14" i="1" s="1"/>
  <c r="F14" i="1"/>
  <c r="G14" i="1" l="1"/>
  <c r="J14" i="1" s="1"/>
  <c r="B15" i="1"/>
  <c r="C15" i="1" l="1"/>
  <c r="D15" i="1"/>
  <c r="H15" i="1" s="1"/>
  <c r="E15" i="1"/>
  <c r="I15" i="1" s="1"/>
  <c r="F15" i="1"/>
  <c r="G15" i="1" l="1"/>
  <c r="J15" i="1" s="1"/>
  <c r="B16" i="1"/>
  <c r="C16" i="1" l="1"/>
  <c r="D16" i="1"/>
  <c r="H16" i="1" s="1"/>
  <c r="E16" i="1"/>
  <c r="I16" i="1" s="1"/>
  <c r="F16" i="1"/>
  <c r="G16" i="1" l="1"/>
  <c r="J16" i="1" s="1"/>
  <c r="B17" i="1"/>
  <c r="C17" i="1" l="1"/>
  <c r="D17" i="1"/>
  <c r="H17" i="1" s="1"/>
  <c r="E17" i="1"/>
  <c r="I17" i="1" s="1"/>
  <c r="F17" i="1"/>
  <c r="B18" i="1" l="1"/>
  <c r="G17" i="1"/>
  <c r="J17" i="1" s="1"/>
  <c r="C18" i="1" l="1"/>
  <c r="G18" i="1" s="1"/>
  <c r="D18" i="1"/>
  <c r="H18" i="1" s="1"/>
  <c r="E18" i="1"/>
  <c r="I18" i="1" s="1"/>
  <c r="F18" i="1"/>
  <c r="J18" i="1" s="1"/>
</calcChain>
</file>

<file path=xl/sharedStrings.xml><?xml version="1.0" encoding="utf-8"?>
<sst xmlns="http://schemas.openxmlformats.org/spreadsheetml/2006/main" count="25" uniqueCount="22">
  <si>
    <t>4x1+x2-x3+x4=-2</t>
  </si>
  <si>
    <t>x1+4x2-x3-x4=-1</t>
  </si>
  <si>
    <t>−𝑥1 − 𝑥2 + 5𝑥3 + 𝑥4 = 0</t>
  </si>
  <si>
    <t>𝑥1 − 𝑥2 + 𝑥3 + 3𝑥4 = 1</t>
  </si>
  <si>
    <t>menjadi</t>
  </si>
  <si>
    <t>x2=1/4*(-1-x1+x3+x4)</t>
  </si>
  <si>
    <t>x3=1/5*(x1+x2-x4)</t>
  </si>
  <si>
    <t>x4=1/3*(1-x1+x2-x3)</t>
  </si>
  <si>
    <t>Error relatif</t>
  </si>
  <si>
    <t>N</t>
  </si>
  <si>
    <t>Iterasi ke</t>
  </si>
  <si>
    <t>X1</t>
  </si>
  <si>
    <t>X2</t>
  </si>
  <si>
    <t>X3</t>
  </si>
  <si>
    <t>Error X1</t>
  </si>
  <si>
    <t>Error X2</t>
  </si>
  <si>
    <t>Error X3</t>
  </si>
  <si>
    <t>Max Error</t>
  </si>
  <si>
    <t>X4</t>
  </si>
  <si>
    <t>Error X4</t>
  </si>
  <si>
    <t>x1=1/4*(-2-x2+x3-x4)</t>
  </si>
  <si>
    <t>Metode Gauss Seidel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</si>
</sst>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1" applyNumberFormat="1" applyFont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165" fontId="0" fillId="0" borderId="1" xfId="1" applyNumberFormat="1" applyFont="1" applyBorder="1"/>
    <xf numFmtId="0" fontId="0" fillId="2" borderId="1" xfId="0" applyFill="1" applyBorder="1"/>
    <xf numFmtId="164" fontId="0" fillId="2" borderId="1" xfId="0" applyNumberFormat="1" applyFill="1" applyBorder="1"/>
    <xf numFmtId="2" fontId="0" fillId="2" borderId="1" xfId="0" applyNumberFormat="1" applyFill="1" applyBorder="1"/>
    <xf numFmtId="165" fontId="0" fillId="2" borderId="1" xfId="1" applyNumberFormat="1" applyFont="1" applyFill="1" applyBorder="1"/>
    <xf numFmtId="0" fontId="3" fillId="3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1188-0EC1-4BEB-BE4C-F4A27BEEC515}">
  <dimension ref="A1:L24"/>
  <sheetViews>
    <sheetView tabSelected="1" workbookViewId="0">
      <selection sqref="A1:J18"/>
    </sheetView>
  </sheetViews>
  <sheetFormatPr defaultRowHeight="14.5" x14ac:dyDescent="0.35"/>
  <cols>
    <col min="1" max="1" width="20" bestFit="1" customWidth="1"/>
    <col min="5" max="5" width="9.453125" bestFit="1" customWidth="1"/>
    <col min="6" max="6" width="11.1796875" bestFit="1" customWidth="1"/>
    <col min="7" max="7" width="9.453125" bestFit="1" customWidth="1"/>
    <col min="8" max="8" width="11.1796875" bestFit="1" customWidth="1"/>
    <col min="9" max="9" width="9.453125" bestFit="1" customWidth="1"/>
    <col min="10" max="10" width="11.1796875" bestFit="1" customWidth="1"/>
  </cols>
  <sheetData>
    <row r="1" spans="1:12" ht="15.5" x14ac:dyDescent="0.35">
      <c r="A1" t="s">
        <v>0</v>
      </c>
      <c r="B1" t="s">
        <v>4</v>
      </c>
      <c r="C1" t="s">
        <v>20</v>
      </c>
      <c r="F1" s="1" t="s">
        <v>8</v>
      </c>
      <c r="G1" s="2">
        <v>5.0000000000000001E-4</v>
      </c>
    </row>
    <row r="2" spans="1:12" ht="15.5" x14ac:dyDescent="0.35">
      <c r="A2" t="s">
        <v>1</v>
      </c>
      <c r="B2" t="s">
        <v>4</v>
      </c>
      <c r="C2" t="s">
        <v>5</v>
      </c>
      <c r="F2" s="1" t="s">
        <v>9</v>
      </c>
      <c r="G2" s="1">
        <v>20</v>
      </c>
    </row>
    <row r="3" spans="1:12" ht="15.5" x14ac:dyDescent="0.35">
      <c r="A3" t="s">
        <v>2</v>
      </c>
      <c r="B3" t="s">
        <v>4</v>
      </c>
      <c r="C3" t="s">
        <v>6</v>
      </c>
      <c r="F3" s="1"/>
      <c r="G3" s="1"/>
    </row>
    <row r="4" spans="1:12" ht="15.5" x14ac:dyDescent="0.35">
      <c r="A4" t="s">
        <v>3</v>
      </c>
      <c r="B4" t="s">
        <v>4</v>
      </c>
      <c r="C4" t="s">
        <v>7</v>
      </c>
      <c r="F4" s="1"/>
      <c r="G4" s="1"/>
    </row>
    <row r="6" spans="1:12" ht="15.5" x14ac:dyDescent="0.35">
      <c r="A6" s="1" t="s">
        <v>21</v>
      </c>
      <c r="B6" s="1"/>
      <c r="C6" s="1"/>
      <c r="D6" s="1"/>
      <c r="E6" s="1"/>
      <c r="F6" s="1"/>
      <c r="G6" s="1"/>
      <c r="H6" s="1"/>
    </row>
    <row r="7" spans="1:12" ht="15.5" x14ac:dyDescent="0.35">
      <c r="A7" s="15" t="s">
        <v>10</v>
      </c>
      <c r="B7" s="15" t="s">
        <v>11</v>
      </c>
      <c r="C7" s="15" t="s">
        <v>12</v>
      </c>
      <c r="D7" s="15" t="s">
        <v>13</v>
      </c>
      <c r="E7" s="15" t="s">
        <v>18</v>
      </c>
      <c r="F7" s="15" t="s">
        <v>14</v>
      </c>
      <c r="G7" s="15" t="s">
        <v>15</v>
      </c>
      <c r="H7" s="15" t="s">
        <v>16</v>
      </c>
      <c r="I7" s="15" t="s">
        <v>19</v>
      </c>
      <c r="J7" s="15" t="s">
        <v>17</v>
      </c>
      <c r="K7" s="3"/>
      <c r="L7" s="3"/>
    </row>
    <row r="8" spans="1:12" x14ac:dyDescent="0.35">
      <c r="A8" s="7">
        <v>0</v>
      </c>
      <c r="B8" s="7">
        <v>0</v>
      </c>
      <c r="C8" s="7">
        <v>0</v>
      </c>
      <c r="D8" s="7">
        <v>0</v>
      </c>
      <c r="E8" s="7">
        <v>0</v>
      </c>
      <c r="F8" s="7"/>
      <c r="G8" s="7"/>
      <c r="H8" s="7"/>
      <c r="I8" s="7"/>
      <c r="J8" s="7"/>
    </row>
    <row r="9" spans="1:12" x14ac:dyDescent="0.35">
      <c r="A9" s="7">
        <v>1</v>
      </c>
      <c r="B9" s="8">
        <f>1/4*(-2-C8+D8-E8)</f>
        <v>-0.5</v>
      </c>
      <c r="C9" s="9">
        <f>1/4*(-1-B9+D8+E8)</f>
        <v>-0.125</v>
      </c>
      <c r="D9" s="7">
        <f>1/5*(B9+C9-E8)</f>
        <v>-0.125</v>
      </c>
      <c r="E9" s="7">
        <f>1/3*(1-B9+C9-D9)</f>
        <v>0.5</v>
      </c>
      <c r="F9" s="7">
        <f>ABS((B9-B8)/B9)</f>
        <v>1</v>
      </c>
      <c r="G9" s="7">
        <f>ABS((C9-C8)/C9)</f>
        <v>1</v>
      </c>
      <c r="H9" s="7">
        <f>ABS((D9-D8)/D9)</f>
        <v>1</v>
      </c>
      <c r="I9" s="7">
        <f>ABS((E9-E8)/E9)</f>
        <v>1</v>
      </c>
      <c r="J9" s="10">
        <f>MAX(F9:I9)</f>
        <v>1</v>
      </c>
    </row>
    <row r="10" spans="1:12" x14ac:dyDescent="0.35">
      <c r="A10" s="7">
        <v>2</v>
      </c>
      <c r="B10" s="8">
        <f t="shared" ref="B10:B17" si="0">1/4*(-2-C9+D9-E9)</f>
        <v>-0.625</v>
      </c>
      <c r="C10" s="9">
        <f t="shared" ref="C10:C17" si="1">1/4*(-1-B10+D9+E9)</f>
        <v>0</v>
      </c>
      <c r="D10" s="7">
        <f t="shared" ref="D10:D17" si="2">1/5*(B10+C10-E9)</f>
        <v>-0.22500000000000001</v>
      </c>
      <c r="E10" s="7">
        <f t="shared" ref="E10:E17" si="3">1/3*(1-B10+C10-D10)</f>
        <v>0.6166666666666667</v>
      </c>
      <c r="F10" s="7">
        <f t="shared" ref="F10:F17" si="4">ABS((B10-B9)/B10)</f>
        <v>0.2</v>
      </c>
      <c r="G10" s="7" t="e">
        <f t="shared" ref="G10:G17" si="5">ABS((C10-C9)/C10)</f>
        <v>#DIV/0!</v>
      </c>
      <c r="H10" s="7">
        <f t="shared" ref="H10:H17" si="6">ABS((D10-D9)/D10)</f>
        <v>0.44444444444444448</v>
      </c>
      <c r="I10" s="7">
        <f t="shared" ref="I10:I17" si="7">ABS((E10-E9)/E10)</f>
        <v>0.18918918918918923</v>
      </c>
      <c r="J10" s="10" t="e">
        <f t="shared" ref="J10:J17" si="8">MAX(F10:I10)</f>
        <v>#DIV/0!</v>
      </c>
    </row>
    <row r="11" spans="1:12" x14ac:dyDescent="0.35">
      <c r="A11" s="7">
        <v>3</v>
      </c>
      <c r="B11" s="8">
        <f t="shared" si="0"/>
        <v>-0.7104166666666667</v>
      </c>
      <c r="C11" s="9">
        <f t="shared" si="1"/>
        <v>2.5520833333333354E-2</v>
      </c>
      <c r="D11" s="7">
        <f t="shared" si="2"/>
        <v>-0.26031250000000006</v>
      </c>
      <c r="E11" s="7">
        <f t="shared" si="3"/>
        <v>0.66541666666666677</v>
      </c>
      <c r="F11" s="7">
        <f t="shared" si="4"/>
        <v>0.12023460410557188</v>
      </c>
      <c r="G11" s="7">
        <f t="shared" si="5"/>
        <v>1</v>
      </c>
      <c r="H11" s="7">
        <f t="shared" si="6"/>
        <v>0.13565426170468203</v>
      </c>
      <c r="I11" s="7">
        <f t="shared" si="7"/>
        <v>7.326236693800886E-2</v>
      </c>
      <c r="J11" s="10">
        <f t="shared" si="8"/>
        <v>1</v>
      </c>
    </row>
    <row r="12" spans="1:12" x14ac:dyDescent="0.35">
      <c r="A12" s="7">
        <v>4</v>
      </c>
      <c r="B12" s="8">
        <f t="shared" si="0"/>
        <v>-0.73781249999999998</v>
      </c>
      <c r="C12" s="9">
        <f t="shared" si="1"/>
        <v>3.5729166666666673E-2</v>
      </c>
      <c r="D12" s="7">
        <f t="shared" si="2"/>
        <v>-0.27350000000000002</v>
      </c>
      <c r="E12" s="7">
        <f t="shared" si="3"/>
        <v>0.68234722222222211</v>
      </c>
      <c r="F12" s="7">
        <f t="shared" si="4"/>
        <v>3.7131159113369977E-2</v>
      </c>
      <c r="G12" s="7">
        <f t="shared" si="5"/>
        <v>0.28571428571428525</v>
      </c>
      <c r="H12" s="7">
        <f t="shared" si="6"/>
        <v>4.8217550274222899E-2</v>
      </c>
      <c r="I12" s="7">
        <f t="shared" si="7"/>
        <v>2.4812229029697014E-2</v>
      </c>
      <c r="J12" s="10">
        <f t="shared" si="8"/>
        <v>0.28571428571428525</v>
      </c>
    </row>
    <row r="13" spans="1:12" x14ac:dyDescent="0.35">
      <c r="A13" s="7">
        <v>5</v>
      </c>
      <c r="B13" s="8">
        <f t="shared" si="0"/>
        <v>-0.74789409722222211</v>
      </c>
      <c r="C13" s="9">
        <f t="shared" si="1"/>
        <v>3.9185329861111035E-2</v>
      </c>
      <c r="D13" s="7">
        <f t="shared" si="2"/>
        <v>-0.27821119791666665</v>
      </c>
      <c r="E13" s="7">
        <f t="shared" si="3"/>
        <v>0.68843020833333324</v>
      </c>
      <c r="F13" s="7">
        <f t="shared" si="4"/>
        <v>1.3479979665124403E-2</v>
      </c>
      <c r="G13" s="7">
        <f t="shared" si="5"/>
        <v>8.8200436405522914E-2</v>
      </c>
      <c r="H13" s="7">
        <f t="shared" si="6"/>
        <v>1.6933890339229946E-2</v>
      </c>
      <c r="I13" s="7">
        <f t="shared" si="7"/>
        <v>8.8360243892228966E-3</v>
      </c>
      <c r="J13" s="10">
        <f t="shared" si="8"/>
        <v>8.8200436405522914E-2</v>
      </c>
    </row>
    <row r="14" spans="1:12" x14ac:dyDescent="0.35">
      <c r="A14" s="7">
        <v>6</v>
      </c>
      <c r="B14" s="8">
        <f t="shared" si="0"/>
        <v>-0.75145668402777777</v>
      </c>
      <c r="C14" s="9">
        <f t="shared" si="1"/>
        <v>4.0418923611111074E-2</v>
      </c>
      <c r="D14" s="7">
        <f t="shared" si="2"/>
        <v>-0.27989359374999995</v>
      </c>
      <c r="E14" s="7">
        <f t="shared" si="3"/>
        <v>0.69058973379629607</v>
      </c>
      <c r="F14" s="7">
        <f t="shared" si="4"/>
        <v>4.7409077346419141E-3</v>
      </c>
      <c r="G14" s="7">
        <f t="shared" si="5"/>
        <v>3.0520202909632338E-2</v>
      </c>
      <c r="H14" s="7">
        <f t="shared" si="6"/>
        <v>6.0108408012939556E-3</v>
      </c>
      <c r="I14" s="7">
        <f t="shared" si="7"/>
        <v>3.1270743790115878E-3</v>
      </c>
      <c r="J14" s="10">
        <f t="shared" si="8"/>
        <v>3.0520202909632338E-2</v>
      </c>
    </row>
    <row r="15" spans="1:12" x14ac:dyDescent="0.35">
      <c r="A15" s="7">
        <v>7</v>
      </c>
      <c r="B15" s="8">
        <f t="shared" si="0"/>
        <v>-0.75272556278935165</v>
      </c>
      <c r="C15" s="9">
        <f t="shared" si="1"/>
        <v>4.085542570891193E-2</v>
      </c>
      <c r="D15" s="7">
        <f t="shared" si="2"/>
        <v>-0.28049197417534716</v>
      </c>
      <c r="E15" s="7">
        <f t="shared" si="3"/>
        <v>0.69135765422453688</v>
      </c>
      <c r="F15" s="7">
        <f t="shared" si="4"/>
        <v>1.6857123290350919E-3</v>
      </c>
      <c r="G15" s="7">
        <f t="shared" si="5"/>
        <v>1.0684066809408876E-2</v>
      </c>
      <c r="H15" s="7">
        <f t="shared" si="6"/>
        <v>2.1333245883646528E-3</v>
      </c>
      <c r="I15" s="7">
        <f t="shared" si="7"/>
        <v>1.1107426431868309E-3</v>
      </c>
      <c r="J15" s="10">
        <f t="shared" si="8"/>
        <v>1.0684066809408876E-2</v>
      </c>
    </row>
    <row r="16" spans="1:12" x14ac:dyDescent="0.35">
      <c r="A16" s="7">
        <v>8</v>
      </c>
      <c r="B16" s="8">
        <f t="shared" si="0"/>
        <v>-0.75317626352719891</v>
      </c>
      <c r="C16" s="9">
        <f t="shared" si="1"/>
        <v>4.1010485894097143E-2</v>
      </c>
      <c r="D16" s="7">
        <f t="shared" si="2"/>
        <v>-0.28070468637152773</v>
      </c>
      <c r="E16" s="7">
        <f t="shared" si="3"/>
        <v>0.69163047859760796</v>
      </c>
      <c r="F16" s="7">
        <f t="shared" si="4"/>
        <v>5.9840008198954354E-4</v>
      </c>
      <c r="G16" s="7">
        <f t="shared" si="5"/>
        <v>3.7809887350671832E-3</v>
      </c>
      <c r="H16" s="7">
        <f t="shared" si="6"/>
        <v>7.5777928373821151E-4</v>
      </c>
      <c r="I16" s="7">
        <f t="shared" si="7"/>
        <v>3.9446551520441113E-4</v>
      </c>
      <c r="J16" s="10">
        <f t="shared" si="8"/>
        <v>3.7809887350671832E-3</v>
      </c>
    </row>
    <row r="17" spans="1:10" x14ac:dyDescent="0.35">
      <c r="A17" s="7">
        <v>9</v>
      </c>
      <c r="B17" s="8">
        <f t="shared" si="0"/>
        <v>-0.7533364127158082</v>
      </c>
      <c r="C17" s="9">
        <f t="shared" si="1"/>
        <v>4.106555123547212E-2</v>
      </c>
      <c r="D17" s="7">
        <f t="shared" si="2"/>
        <v>-0.28078026801558881</v>
      </c>
      <c r="E17" s="7">
        <f t="shared" si="3"/>
        <v>0.69172741065562304</v>
      </c>
      <c r="F17" s="7">
        <f t="shared" si="4"/>
        <v>2.1258654952300643E-4</v>
      </c>
      <c r="G17" s="7">
        <f t="shared" si="5"/>
        <v>1.3409132403758369E-3</v>
      </c>
      <c r="H17" s="7">
        <f t="shared" si="6"/>
        <v>2.6918431482114415E-4</v>
      </c>
      <c r="I17" s="7">
        <f t="shared" si="7"/>
        <v>1.4013042785627653E-4</v>
      </c>
      <c r="J17" s="10">
        <f t="shared" si="8"/>
        <v>1.3409132403758369E-3</v>
      </c>
    </row>
    <row r="18" spans="1:10" x14ac:dyDescent="0.35">
      <c r="A18" s="11">
        <v>10</v>
      </c>
      <c r="B18" s="12">
        <f>1/4*(-2-C17+D17-E17)</f>
        <v>-0.75339330747667099</v>
      </c>
      <c r="C18" s="13">
        <f>1/4*(-1-B18+D17+E17)</f>
        <v>4.1085112529176293E-2</v>
      </c>
      <c r="D18" s="11">
        <f>1/5*(B18+C18-E17)</f>
        <v>-0.28080712112062356</v>
      </c>
      <c r="E18" s="11">
        <f>1/3*(1-B18+C18-D18)</f>
        <v>0.69176184704215693</v>
      </c>
      <c r="F18" s="11">
        <f>ABS((B18-B17)/B18)</f>
        <v>7.5518006727917449E-5</v>
      </c>
      <c r="G18" s="11">
        <f>ABS((C18-C17)/C18)</f>
        <v>4.7611634726038674E-4</v>
      </c>
      <c r="H18" s="11">
        <f>ABS((D18-D17)/D18)</f>
        <v>9.5628290791161942E-5</v>
      </c>
      <c r="I18" s="11">
        <f>ABS((E18-E17)/E18)</f>
        <v>4.9780696465308861E-5</v>
      </c>
      <c r="J18" s="14">
        <f>MAX(F18:I18)</f>
        <v>4.7611634726038674E-4</v>
      </c>
    </row>
    <row r="22" spans="1:10" x14ac:dyDescent="0.35">
      <c r="B22" s="4"/>
      <c r="C22" s="5"/>
      <c r="J22" s="6"/>
    </row>
    <row r="23" spans="1:10" x14ac:dyDescent="0.35">
      <c r="B23" s="4"/>
      <c r="C23" s="5"/>
      <c r="J23" s="6"/>
    </row>
    <row r="24" spans="1:10" x14ac:dyDescent="0.35">
      <c r="B24" s="4"/>
      <c r="C24" s="5"/>
      <c r="J2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Putri</dc:creator>
  <cp:lastModifiedBy>Oktaviani Putri</cp:lastModifiedBy>
  <dcterms:created xsi:type="dcterms:W3CDTF">2026-04-23T04:18:00Z</dcterms:created>
  <dcterms:modified xsi:type="dcterms:W3CDTF">2026-05-23T07:25:56Z</dcterms:modified>
</cp:coreProperties>
</file>